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ote" sheetId="1" state="visible" r:id="rId1"/>
  </sheets>
  <definedNames>
    <definedName name="_xlnm.Print_Area" localSheetId="0">'Quote'!$A$1:$I$25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Carlito"/>
      <b val="1"/>
      <color rgb="FFFFFFFF"/>
      <sz val="19"/>
    </font>
    <font>
      <name val="Carlito"/>
      <b val="1"/>
      <color rgb="FFBFDBFE"/>
      <sz val="10"/>
    </font>
    <font>
      <name val="Carlito"/>
      <color rgb="FF475569"/>
      <sz val="10"/>
    </font>
    <font>
      <name val="Carlito"/>
      <b val="1"/>
      <color rgb="FF0F172A"/>
      <sz val="10"/>
    </font>
    <font>
      <name val="Carlito"/>
      <b val="1"/>
      <color rgb="FF2563EB"/>
      <sz val="10"/>
    </font>
    <font>
      <name val="Carlito"/>
      <i val="1"/>
      <color rgb="FF475569"/>
      <sz val="9"/>
    </font>
    <font>
      <name val="Carlito"/>
      <b val="1"/>
      <color rgb="FFFFFFFF"/>
      <sz val="9"/>
    </font>
    <font>
      <name val="Carlito"/>
      <color rgb="FF0F172A"/>
      <sz val="9"/>
    </font>
    <font>
      <name val="Carlito"/>
      <b val="1"/>
      <color rgb="FF0F172A"/>
      <sz val="9"/>
    </font>
    <font>
      <name val="Carlito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2563EB"/>
      </patternFill>
    </fill>
    <fill>
      <patternFill patternType="solid">
        <fgColor rgb="FFE2E8F0"/>
      </patternFill>
    </fill>
    <fill>
      <patternFill patternType="solid">
        <fgColor rgb="FFEFF6FF"/>
      </patternFill>
    </fill>
  </fills>
  <borders count="19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bottom style="thin">
        <color rgb="FFCBD5E1"/>
      </bottom>
    </border>
    <border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top style="thin">
        <color rgb="FF0F172A"/>
      </top>
    </border>
    <border>
      <right style="thin">
        <color rgb="FF0F172A"/>
      </right>
      <top style="thin">
        <color rgb="FF0F172A"/>
      </top>
    </border>
    <border>
      <top style="thin">
        <color rgb="FF0F172A"/>
      </top>
      <bottom style="thin">
        <color rgb="FF0F172A"/>
      </bottom>
    </border>
    <border>
      <right style="thin">
        <color rgb="FF0F172A"/>
      </right>
      <top style="thin">
        <color rgb="FF0F172A"/>
      </top>
      <bottom style="thin">
        <color rgb="FF0F172A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6" fillId="4" borderId="0" pivotButton="0" quotePrefix="0" xfId="0"/>
    <xf numFmtId="0" fontId="6" fillId="4" borderId="2" pivotButton="0" quotePrefix="0" xfId="0"/>
    <xf numFmtId="0" fontId="6" fillId="4" borderId="3" pivotButton="0" quotePrefix="0" xfId="0"/>
    <xf numFmtId="0" fontId="6" fillId="4" borderId="4" pivotButton="0" quotePrefix="0" xfId="0"/>
    <xf numFmtId="0" fontId="6" fillId="4" borderId="5" pivotButton="0" quotePrefix="0" xfId="0"/>
    <xf numFmtId="0" fontId="6" fillId="4" borderId="6" pivotButton="0" quotePrefix="0" xfId="0"/>
    <xf numFmtId="0" fontId="6" fillId="4" borderId="7" pivotButton="0" quotePrefix="0" xfId="0"/>
    <xf numFmtId="0" fontId="6" fillId="4" borderId="8" pivotButton="0" quotePrefix="0" xfId="0"/>
    <xf numFmtId="0" fontId="6" fillId="4" borderId="9" pivotButton="0" quotePrefix="0" xfId="0"/>
    <xf numFmtId="0" fontId="6" fillId="4" borderId="2" applyAlignment="1" pivotButton="0" quotePrefix="0" xfId="0">
      <alignment wrapText="1"/>
    </xf>
    <xf numFmtId="0" fontId="6" fillId="4" borderId="3" applyAlignment="1" pivotButton="0" quotePrefix="0" xfId="0">
      <alignment wrapText="1"/>
    </xf>
    <xf numFmtId="0" fontId="6" fillId="4" borderId="4" applyAlignment="1" pivotButton="0" quotePrefix="0" xfId="0">
      <alignment wrapText="1"/>
    </xf>
    <xf numFmtId="0" fontId="6" fillId="4" borderId="5" applyAlignment="1" pivotButton="0" quotePrefix="0" xfId="0">
      <alignment wrapText="1"/>
    </xf>
    <xf numFmtId="0" fontId="6" fillId="4" borderId="0" applyAlignment="1" pivotButton="0" quotePrefix="0" xfId="0">
      <alignment wrapText="1"/>
    </xf>
    <xf numFmtId="0" fontId="6" fillId="4" borderId="6" applyAlignment="1" pivotButton="0" quotePrefix="0" xfId="0">
      <alignment wrapText="1"/>
    </xf>
    <xf numFmtId="0" fontId="6" fillId="4" borderId="7" applyAlignment="1" pivotButton="0" quotePrefix="0" xfId="0">
      <alignment wrapText="1"/>
    </xf>
    <xf numFmtId="0" fontId="6" fillId="4" borderId="8" applyAlignment="1" pivotButton="0" quotePrefix="0" xfId="0">
      <alignment wrapText="1"/>
    </xf>
    <xf numFmtId="0" fontId="6" fillId="4" borderId="9" applyAlignment="1" pivotButton="0" quotePrefix="0" xfId="0">
      <alignment wrapText="1"/>
    </xf>
    <xf numFmtId="0" fontId="6" fillId="4" borderId="2" applyAlignment="1" pivotButton="0" quotePrefix="0" xfId="0">
      <alignment horizontal="left" wrapText="1"/>
    </xf>
    <xf numFmtId="0" fontId="6" fillId="4" borderId="3" applyAlignment="1" pivotButton="0" quotePrefix="0" xfId="0">
      <alignment horizontal="left" wrapText="1"/>
    </xf>
    <xf numFmtId="0" fontId="6" fillId="4" borderId="4" applyAlignment="1" pivotButton="0" quotePrefix="0" xfId="0">
      <alignment horizontal="left" wrapText="1"/>
    </xf>
    <xf numFmtId="0" fontId="6" fillId="4" borderId="5" applyAlignment="1" pivotButton="0" quotePrefix="0" xfId="0">
      <alignment horizontal="left" wrapText="1"/>
    </xf>
    <xf numFmtId="0" fontId="6" fillId="4" borderId="0" applyAlignment="1" pivotButton="0" quotePrefix="0" xfId="0">
      <alignment horizontal="left" wrapText="1"/>
    </xf>
    <xf numFmtId="0" fontId="6" fillId="4" borderId="6" applyAlignment="1" pivotButton="0" quotePrefix="0" xfId="0">
      <alignment horizontal="left" wrapText="1"/>
    </xf>
    <xf numFmtId="0" fontId="6" fillId="4" borderId="7" applyAlignment="1" pivotButton="0" quotePrefix="0" xfId="0">
      <alignment horizontal="left" wrapText="1"/>
    </xf>
    <xf numFmtId="0" fontId="6" fillId="4" borderId="8" applyAlignment="1" pivotButton="0" quotePrefix="0" xfId="0">
      <alignment horizontal="left" wrapText="1"/>
    </xf>
    <xf numFmtId="0" fontId="6" fillId="4" borderId="9" applyAlignment="1" pivotButton="0" quotePrefix="0" xfId="0">
      <alignment horizontal="left" wrapText="1"/>
    </xf>
    <xf numFmtId="0" fontId="6" fillId="4" borderId="2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6" fillId="4" borderId="6" applyAlignment="1" pivotButton="0" quotePrefix="0" xfId="0">
      <alignment horizontal="left" vertical="center" wrapText="1"/>
    </xf>
    <xf numFmtId="0" fontId="6" fillId="4" borderId="7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6" fillId="4" borderId="9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5" borderId="0" pivotButton="0" quotePrefix="0" xfId="0"/>
    <xf numFmtId="0" fontId="7" fillId="5" borderId="10" pivotButton="0" quotePrefix="0" xfId="0"/>
    <xf numFmtId="0" fontId="7" fillId="5" borderId="10" applyAlignment="1" pivotButton="0" quotePrefix="0" xfId="0">
      <alignment wrapText="1"/>
    </xf>
    <xf numFmtId="0" fontId="7" fillId="5" borderId="10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 wrapText="1"/>
    </xf>
    <xf numFmtId="0" fontId="0" fillId="6" borderId="0" pivotButton="0" quotePrefix="0" xfId="0"/>
    <xf numFmtId="0" fontId="4" fillId="6" borderId="0" pivotButton="0" quotePrefix="0" xfId="0"/>
    <xf numFmtId="0" fontId="4" fillId="6" borderId="1" pivotButton="0" quotePrefix="0" xfId="0"/>
    <xf numFmtId="0" fontId="4" fillId="6" borderId="1" applyAlignment="1" pivotButton="0" quotePrefix="0" xfId="0">
      <alignment vertical="center"/>
    </xf>
    <xf numFmtId="0" fontId="8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wrapText="1"/>
    </xf>
    <xf numFmtId="0" fontId="8" fillId="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9" fillId="7" borderId="1" applyAlignment="1" pivotButton="0" quotePrefix="0" xfId="0">
      <alignment vertical="center"/>
    </xf>
    <xf numFmtId="4" fontId="9" fillId="7" borderId="1" applyAlignment="1" pivotButton="0" quotePrefix="0" xfId="0">
      <alignment vertical="center"/>
    </xf>
    <xf numFmtId="4" fontId="9" fillId="7" borderId="1" applyAlignment="1" pivotButton="0" quotePrefix="0" xfId="0">
      <alignment horizontal="right" vertical="center"/>
    </xf>
    <xf numFmtId="0" fontId="9" fillId="2" borderId="1" applyAlignment="1" pivotButton="0" quotePrefix="0" xfId="0">
      <alignment vertical="center"/>
    </xf>
    <xf numFmtId="4" fontId="9" fillId="2" borderId="1" applyAlignment="1" pivotButton="0" quotePrefix="0" xfId="0">
      <alignment horizontal="right" vertical="center"/>
    </xf>
    <xf numFmtId="0" fontId="10" fillId="2" borderId="1" applyAlignment="1" pivotButton="0" quotePrefix="0" xfId="0">
      <alignment vertical="center"/>
    </xf>
    <xf numFmtId="4" fontId="10" fillId="2" borderId="1" applyAlignment="1" pivotButton="0" quotePrefix="0" xfId="0">
      <alignment horizontal="right" vertical="center"/>
    </xf>
    <xf numFmtId="0" fontId="10" fillId="2" borderId="11" applyAlignment="1" pivotButton="0" quotePrefix="0" xfId="0">
      <alignment vertical="center"/>
    </xf>
    <xf numFmtId="4" fontId="10" fillId="2" borderId="11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13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2" fontId="8" fillId="0" borderId="1" applyAlignment="1" pivotButton="0" quotePrefix="0" xfId="0">
      <alignment vertical="center" wrapText="1"/>
    </xf>
    <xf numFmtId="0" fontId="8" fillId="0" borderId="18" applyAlignment="1" pivotButton="0" quotePrefix="0" xfId="0">
      <alignment vertical="center"/>
    </xf>
    <xf numFmtId="0" fontId="9" fillId="0" borderId="18" applyAlignment="1" pivotButton="0" quotePrefix="0" xfId="0">
      <alignment vertical="center"/>
    </xf>
    <xf numFmtId="0" fontId="0" fillId="0" borderId="18" pivotButton="0" quotePrefix="0" xfId="0"/>
    <xf numFmtId="4" fontId="9" fillId="7" borderId="18" applyAlignment="1" pivotButton="0" quotePrefix="0" xfId="0">
      <alignment horizontal="right" vertical="center"/>
    </xf>
    <xf numFmtId="0" fontId="10" fillId="2" borderId="18" applyAlignment="1" pivotButton="0" quotePrefix="0" xfId="0">
      <alignment vertical="center"/>
    </xf>
    <xf numFmtId="4" fontId="10" fillId="2" borderId="18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9" customWidth="1" min="9" max="9"/>
  </cols>
  <sheetData>
    <row r="1" ht="34" customHeight="1">
      <c r="A1" s="4" t="inlineStr">
        <is>
          <t>SPEC OCR PIPELINE</t>
        </is>
      </c>
    </row>
    <row r="2" ht="21" customHeight="1">
      <c r="A2" s="7" t="inlineStr">
        <is>
          <t>COMMERCIAL PROPOSAL · PUBLIC SYNTHETIC TEMPLATE</t>
        </is>
      </c>
    </row>
    <row r="3" ht="21" customHeight="1">
      <c r="A3" s="12" t="inlineStr">
        <is>
          <t>Prepared for</t>
        </is>
      </c>
      <c r="B3" s="81" t="n"/>
      <c r="C3" s="11" t="inlineStr">
        <is>
          <t>Demo customer</t>
        </is>
      </c>
      <c r="D3" s="82" t="n"/>
      <c r="E3" s="82" t="n"/>
      <c r="F3" s="82" t="n"/>
      <c r="G3" s="82" t="n"/>
      <c r="H3" s="82" t="n"/>
      <c r="I3" s="81" t="n"/>
    </row>
    <row r="4" ht="21" customHeight="1">
      <c r="A4" s="12" t="inlineStr">
        <is>
          <t>Reference</t>
        </is>
      </c>
      <c r="B4" s="81" t="n"/>
      <c r="C4" s="11" t="inlineStr">
        <is>
          <t>Synthetic HVAC specification</t>
        </is>
      </c>
      <c r="D4" s="82" t="n"/>
      <c r="E4" s="82" t="n"/>
      <c r="F4" s="82" t="n"/>
      <c r="G4" s="82" t="n"/>
      <c r="H4" s="82" t="n"/>
      <c r="I4" s="81" t="n"/>
    </row>
    <row r="5" ht="21" customHeight="1">
      <c r="A5" s="12" t="inlineStr">
        <is>
          <t>Important</t>
        </is>
      </c>
      <c r="B5" s="81" t="n"/>
      <c r="C5" s="11" t="inlineStr">
        <is>
          <t>Verify extracted quantities and prices before use.</t>
        </is>
      </c>
      <c r="D5" s="82" t="n"/>
      <c r="E5" s="82" t="n"/>
      <c r="F5" s="82" t="n"/>
      <c r="G5" s="82" t="n"/>
      <c r="H5" s="82" t="n"/>
      <c r="I5" s="81" t="n"/>
    </row>
    <row r="6" ht="22" customHeight="1">
      <c r="A6" s="16" t="inlineStr">
        <is>
          <t>Import-ready pricing worksheet</t>
        </is>
      </c>
    </row>
    <row r="7">
      <c r="A7" s="83" t="inlineStr">
        <is>
          <t>Generated rows begin below. Enter unit prices only in the two blue columns; totals are calculated by the exporter.</t>
        </is>
      </c>
      <c r="B7" s="84" t="n"/>
      <c r="C7" s="84" t="n"/>
      <c r="D7" s="84" t="n"/>
      <c r="E7" s="84" t="n"/>
      <c r="F7" s="84" t="n"/>
      <c r="G7" s="84" t="n"/>
      <c r="H7" s="84" t="n"/>
      <c r="I7" s="85" t="n"/>
    </row>
    <row r="8">
      <c r="A8" s="86" t="n"/>
      <c r="I8" s="87" t="n"/>
    </row>
    <row r="9">
      <c r="A9" s="88" t="n"/>
      <c r="B9" s="89" t="n"/>
      <c r="C9" s="89" t="n"/>
      <c r="D9" s="89" t="n"/>
      <c r="E9" s="89" t="n"/>
      <c r="F9" s="89" t="n"/>
      <c r="G9" s="89" t="n"/>
      <c r="H9" s="89" t="n"/>
      <c r="I9" s="90" t="n"/>
    </row>
    <row r="10" ht="31" customHeight="1">
      <c r="A10" s="59" t="inlineStr">
        <is>
          <t>Pos</t>
        </is>
      </c>
      <c r="B10" s="59" t="inlineStr">
        <is>
          <t>Description</t>
        </is>
      </c>
      <c r="C10" s="59" t="inlineStr">
        <is>
          <t>Unit</t>
        </is>
      </c>
      <c r="D10" s="59" t="inlineStr">
        <is>
          <t>Qty</t>
        </is>
      </c>
      <c r="E10" s="59" t="inlineStr">
        <is>
          <t>Material price</t>
        </is>
      </c>
      <c r="F10" s="59" t="inlineStr">
        <is>
          <t>Work price</t>
        </is>
      </c>
      <c r="G10" s="59" t="inlineStr">
        <is>
          <t>Material total</t>
        </is>
      </c>
      <c r="H10" s="59" t="inlineStr">
        <is>
          <t>Work total</t>
        </is>
      </c>
      <c r="I10" s="59" t="inlineStr">
        <is>
          <t>Note</t>
        </is>
      </c>
    </row>
    <row r="11" ht="28" customHeight="1">
      <c r="A11" s="67" t="inlineStr">
        <is>
          <t>1</t>
        </is>
      </c>
      <c r="B11" s="67" t="inlineStr">
        <is>
          <t>Supply air duct 500x300 mm GALV-0.7 D-500-300 Demo Air</t>
        </is>
      </c>
      <c r="C11" s="67" t="inlineStr">
        <is>
          <t>pcs</t>
        </is>
      </c>
      <c r="D11" s="91" t="n">
        <v>4</v>
      </c>
      <c r="E11" s="68" t="n"/>
      <c r="F11" s="68" t="n"/>
      <c r="G11" s="67">
        <f>E11*D11</f>
        <v/>
      </c>
      <c r="H11" s="67">
        <f>F11*D11</f>
        <v/>
      </c>
      <c r="I11" s="67" t="inlineStr">
        <is>
          <t>Synthetic</t>
        </is>
      </c>
    </row>
    <row r="12" ht="28" customHeight="1">
      <c r="A12" s="67" t="inlineStr">
        <is>
          <t>2</t>
        </is>
      </c>
      <c r="B12" s="67" t="inlineStr">
        <is>
          <t>Round air duct 250 mm RND-250 D-250 Demo Air</t>
        </is>
      </c>
      <c r="C12" s="67" t="inlineStr">
        <is>
          <t>pcs</t>
        </is>
      </c>
      <c r="D12" s="91" t="n">
        <v>8</v>
      </c>
      <c r="E12" s="68" t="n"/>
      <c r="F12" s="68" t="n"/>
      <c r="G12" s="67">
        <f>E12*D12</f>
        <v/>
      </c>
      <c r="H12" s="67">
        <f>F12*D12</f>
        <v/>
      </c>
      <c r="I12" s="67" t="inlineStr">
        <is>
          <t>Synthetic</t>
        </is>
      </c>
    </row>
    <row r="13" ht="28" customHeight="1">
      <c r="A13" s="67" t="inlineStr">
        <is>
          <t>3</t>
        </is>
      </c>
      <c r="B13" s="67" t="inlineStr">
        <is>
          <t>Fire damper 500x300 mm FD-90 FD-500-300 Demo Safety</t>
        </is>
      </c>
      <c r="C13" s="67" t="inlineStr">
        <is>
          <t>pcs</t>
        </is>
      </c>
      <c r="D13" s="91" t="n">
        <v>2</v>
      </c>
      <c r="E13" s="68" t="n"/>
      <c r="F13" s="68" t="n"/>
      <c r="G13" s="67">
        <f>E13*D13</f>
        <v/>
      </c>
      <c r="H13" s="67">
        <f>F13*D13</f>
        <v/>
      </c>
      <c r="I13" s="67" t="inlineStr">
        <is>
          <t>Synthetic</t>
        </is>
      </c>
    </row>
    <row r="14" ht="28" customHeight="1">
      <c r="A14" s="67" t="inlineStr">
        <is>
          <t>4</t>
        </is>
      </c>
      <c r="B14" s="67" t="inlineStr">
        <is>
          <t>Ceiling diffuser 200 mm CD-200 CD-200 Demo Air</t>
        </is>
      </c>
      <c r="C14" s="67" t="inlineStr">
        <is>
          <t>pcs</t>
        </is>
      </c>
      <c r="D14" s="91" t="n">
        <v>12</v>
      </c>
      <c r="E14" s="68" t="n"/>
      <c r="F14" s="68" t="n"/>
      <c r="G14" s="67">
        <f>E14*D14</f>
        <v/>
      </c>
      <c r="H14" s="67">
        <f>F14*D14</f>
        <v/>
      </c>
      <c r="I14" s="67" t="inlineStr">
        <is>
          <t>Synthetic</t>
        </is>
      </c>
    </row>
    <row r="15" ht="28" customHeight="1">
      <c r="A15" s="67" t="inlineStr">
        <is>
          <t>5</t>
        </is>
      </c>
      <c r="B15" s="67" t="inlineStr">
        <is>
          <t>Inline fan 250 mm IF-250 FAN-250 Demo Motion</t>
        </is>
      </c>
      <c r="C15" s="67" t="inlineStr">
        <is>
          <t>pcs</t>
        </is>
      </c>
      <c r="D15" s="91" t="n">
        <v>1</v>
      </c>
      <c r="E15" s="68" t="n"/>
      <c r="F15" s="68" t="n"/>
      <c r="G15" s="67">
        <f>E15*D15</f>
        <v/>
      </c>
      <c r="H15" s="67">
        <f>F15*D15</f>
        <v/>
      </c>
      <c r="I15" s="67" t="inlineStr">
        <is>
          <t>Synthetic</t>
        </is>
      </c>
    </row>
    <row r="16" ht="28" customHeight="1">
      <c r="A16" s="67" t="inlineStr">
        <is>
          <t>6</t>
        </is>
      </c>
      <c r="B16" s="67" t="inlineStr">
        <is>
          <t>Flexible connector 500x300 mm FC-500-300 FC-500-300 Demo Air</t>
        </is>
      </c>
      <c r="C16" s="67" t="inlineStr">
        <is>
          <t>pcs</t>
        </is>
      </c>
      <c r="D16" s="91" t="n">
        <v>2</v>
      </c>
      <c r="E16" s="68" t="n"/>
      <c r="F16" s="68" t="n"/>
      <c r="G16" s="67">
        <f>E16*D16</f>
        <v/>
      </c>
      <c r="H16" s="67">
        <f>F16*D16</f>
        <v/>
      </c>
      <c r="I16" s="67" t="inlineStr">
        <is>
          <t>Synthetic</t>
        </is>
      </c>
    </row>
    <row r="17" ht="22" customHeight="1">
      <c r="A17" s="63" t="n"/>
      <c r="B17" s="63" t="n"/>
      <c r="C17" s="63" t="n"/>
      <c r="D17" s="63" t="n"/>
      <c r="E17" s="63" t="n"/>
      <c r="F17" s="63" t="n"/>
      <c r="G17" s="63" t="n"/>
      <c r="H17" s="63" t="n"/>
      <c r="I17" s="63" t="n"/>
    </row>
    <row r="18" ht="18" customHeight="1">
      <c r="A18" s="92" t="n"/>
      <c r="B18" s="92" t="n"/>
      <c r="C18" s="93" t="inlineStr">
        <is>
          <t>Итого стоимость оборудования и материалов:</t>
        </is>
      </c>
      <c r="D18" s="94" t="n"/>
      <c r="E18" s="94" t="n"/>
      <c r="F18" s="94" t="n"/>
      <c r="G18" s="94" t="n"/>
      <c r="H18" s="95">
        <f>SUM(G11:G16)</f>
        <v/>
      </c>
      <c r="I18" s="92" t="n"/>
    </row>
    <row r="19" ht="18" customHeight="1">
      <c r="A19" s="92" t="n"/>
      <c r="B19" s="92" t="n"/>
      <c r="C19" s="93" t="inlineStr">
        <is>
          <t>Итого стоимость оборудования:</t>
        </is>
      </c>
      <c r="D19" s="94" t="n"/>
      <c r="E19" s="94" t="n"/>
      <c r="F19" s="94" t="n"/>
      <c r="G19" s="94" t="n"/>
      <c r="H19" s="95" t="n">
        <v>0</v>
      </c>
      <c r="I19" s="92" t="n"/>
    </row>
    <row r="20" ht="20" customHeight="1">
      <c r="A20" s="92" t="n"/>
      <c r="B20" s="92" t="n"/>
      <c r="C20" s="93" t="inlineStr">
        <is>
          <t>Итого стоимость материалов:</t>
        </is>
      </c>
      <c r="D20" s="94" t="n"/>
      <c r="E20" s="94" t="n"/>
      <c r="F20" s="94" t="n"/>
      <c r="G20" s="94" t="n"/>
      <c r="H20" s="95">
        <f>H18-H19</f>
        <v/>
      </c>
      <c r="I20" s="92" t="n"/>
    </row>
    <row r="21" ht="20" customHeight="1">
      <c r="A21" s="92" t="n"/>
      <c r="B21" s="92" t="n"/>
      <c r="C21" s="93" t="inlineStr">
        <is>
          <t>Стоимость монтажных работ:</t>
        </is>
      </c>
      <c r="D21" s="94" t="n"/>
      <c r="E21" s="94" t="n"/>
      <c r="F21" s="94" t="n"/>
      <c r="G21" s="94" t="n"/>
      <c r="H21" s="95">
        <f>SUM(H11:H16)</f>
        <v/>
      </c>
      <c r="I21" s="92" t="n"/>
    </row>
    <row r="22" ht="20" customHeight="1">
      <c r="A22" s="92" t="n"/>
      <c r="B22" s="92" t="n"/>
      <c r="C22" s="93" t="inlineStr">
        <is>
          <t>Расходные и крепежные материалы:</t>
        </is>
      </c>
      <c r="D22" s="94" t="n"/>
      <c r="E22" s="94" t="n"/>
      <c r="F22" s="94" t="n"/>
      <c r="G22" s="94" t="n"/>
      <c r="H22" s="95" t="n">
        <v>100000</v>
      </c>
      <c r="I22" s="92" t="n"/>
    </row>
    <row r="23" ht="20" customHeight="1">
      <c r="A23" s="92" t="n"/>
      <c r="B23" s="92" t="n"/>
      <c r="C23" s="93" t="inlineStr">
        <is>
          <t>Транспортные и накладные расходы:</t>
        </is>
      </c>
      <c r="D23" s="94" t="n"/>
      <c r="E23" s="94" t="n"/>
      <c r="F23" s="94" t="n"/>
      <c r="G23" s="94" t="n"/>
      <c r="H23" s="95" t="n">
        <v>1200000</v>
      </c>
      <c r="I23" s="92" t="n"/>
    </row>
    <row r="24" ht="20" customHeight="1">
      <c r="A24" s="92" t="n"/>
      <c r="B24" s="92" t="n"/>
      <c r="C24" s="96" t="inlineStr">
        <is>
          <t>ИТОГО:</t>
        </is>
      </c>
      <c r="D24" s="94" t="n"/>
      <c r="E24" s="94" t="n"/>
      <c r="F24" s="94" t="n"/>
      <c r="G24" s="94" t="n"/>
      <c r="H24" s="97">
        <f>H18+H21+H22+H23</f>
        <v/>
      </c>
      <c r="I24" s="92" t="n"/>
    </row>
    <row r="25" ht="20" customHeight="1">
      <c r="A25" s="92" t="n"/>
      <c r="B25" s="92" t="n"/>
      <c r="C25" s="93" t="inlineStr">
        <is>
          <t>в т.ч. НДС 22%</t>
        </is>
      </c>
      <c r="D25" s="94" t="n"/>
      <c r="E25" s="94" t="n"/>
      <c r="F25" s="94" t="n"/>
      <c r="G25" s="94" t="n"/>
      <c r="H25" s="95">
        <f>H24/120*22</f>
        <v/>
      </c>
      <c r="I25" s="92" t="n"/>
    </row>
    <row r="26" ht="20" customHeight="1"/>
    <row r="27" ht="20" customHeight="1"/>
  </sheetData>
  <mergeCells count="18">
    <mergeCell ref="C24:G24"/>
    <mergeCell ref="A7:I9"/>
    <mergeCell ref="A2:I2"/>
    <mergeCell ref="C20:G20"/>
    <mergeCell ref="C3:I3"/>
    <mergeCell ref="C25:G25"/>
    <mergeCell ref="C22:G22"/>
    <mergeCell ref="A3:B3"/>
    <mergeCell ref="C5:I5"/>
    <mergeCell ref="C21:G21"/>
    <mergeCell ref="C4:I4"/>
    <mergeCell ref="A5:B5"/>
    <mergeCell ref="C23:G23"/>
    <mergeCell ref="A4:B4"/>
    <mergeCell ref="A1:I1"/>
    <mergeCell ref="C19:G19"/>
    <mergeCell ref="A6:I6"/>
    <mergeCell ref="C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2026-08-09T08:43:45Z</dcterms:created>
  <dcterms:modified xmlns:dcterms="http://purl.org/dc/terms/" xmlns:xsi="http://www.w3.org/2001/XMLSchema-instance" xsi:type="dcterms:W3CDTF">2026-08-09T08:43:45Z</dcterms:modified>
</cp:coreProperties>
</file>